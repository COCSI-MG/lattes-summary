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xr:revisionPtr revIDLastSave="24" documentId="11_E965DBE7025B00CEE007E0154AB5463FB463B02F" xr6:coauthVersionLast="47" xr6:coauthVersionMax="47" xr10:uidLastSave="{24B40C1F-5924-4100-BC0E-FD3BF741F829}"/>
  <bookViews>
    <workbookView xWindow="0" yWindow="0" windowWidth="0" windowHeight="0" xr2:uid="{00000000-000D-0000-FFFF-FFFF00000000}"/>
  </bookViews>
  <sheets>
    <sheet name="indice_R" sheetId="1" r:id="rId1"/>
    <sheet name="ba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  <c r="B13" i="1"/>
  <c r="B12" i="1"/>
  <c r="B11" i="1"/>
  <c r="B10" i="1"/>
  <c r="B9" i="1"/>
  <c r="B8" i="1"/>
  <c r="B7" i="1"/>
  <c r="B6" i="1"/>
  <c r="B5" i="1"/>
  <c r="B4" i="1"/>
  <c r="D14" i="1"/>
  <c r="D13" i="1"/>
  <c r="D12" i="1"/>
  <c r="D11" i="1"/>
  <c r="D10" i="1"/>
  <c r="D9" i="1"/>
  <c r="D8" i="1"/>
  <c r="D7" i="1"/>
  <c r="D6" i="1"/>
  <c r="D5" i="1"/>
  <c r="D4" i="1"/>
  <c r="D15" i="1" s="1"/>
</calcChain>
</file>

<file path=xl/sharedStrings.xml><?xml version="1.0" encoding="utf-8"?>
<sst xmlns="http://schemas.openxmlformats.org/spreadsheetml/2006/main" count="19" uniqueCount="19">
  <si>
    <t>Tabela de Pontuação das Atividades do Grupo de Pesquisa (Índice R)</t>
  </si>
  <si>
    <t>Nome do Grupo:</t>
  </si>
  <si>
    <t>Número de Componentes do Grupo:</t>
  </si>
  <si>
    <t>Atividade</t>
  </si>
  <si>
    <t>Quantidade</t>
  </si>
  <si>
    <t>Pontos</t>
  </si>
  <si>
    <t>Sub-Total</t>
  </si>
  <si>
    <t>Periódicos Indexados</t>
  </si>
  <si>
    <t>Periódicos não indexados constantes na base Qualis</t>
  </si>
  <si>
    <t>Anais de Congressos</t>
  </si>
  <si>
    <t>Livros - Completo</t>
  </si>
  <si>
    <t>Livros - Organizado</t>
  </si>
  <si>
    <t>Livros - Capítulo</t>
  </si>
  <si>
    <t>Livros - Tradução</t>
  </si>
  <si>
    <t>Projeto de Pesquisa - Coordenador</t>
  </si>
  <si>
    <t>Projeto de Pesquisa - Participação</t>
  </si>
  <si>
    <t>Bolsa de Produtividade PQ ou DT</t>
  </si>
  <si>
    <t>Carta Patente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</si>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</sst>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99"/>
      </patternFill>
    </fill>
    <fill>
      <patternFill patternType="solid">
        <fgColor rgb="FFC6E0B4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3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"/>
  <sheetViews>
    <sheetView tabSelected="1" topLeftCell="A2" workbookViewId="0">
      <selection activeCell="B14" sqref="B5:B14"/>
    </sheetView>
  </sheetViews>
  <sheetFormatPr defaultRowHeight="15"/>
  <cols>
    <col min="1" max="1" width="52.28515625" customWidth="1"/>
    <col min="2" max="2" width="35" customWidth="1"/>
    <col min="3" max="3" width="40" customWidth="1"/>
    <col min="4" max="4" width="12" customWidth="1"/>
    <col min="5" max="5" width="10" customWidth="1"/>
    <col min="6" max="6" width="12" customWidth="1"/>
  </cols>
  <sheetData>
    <row r="1" spans="1:7">
      <c r="A1" s="6" t="s">
        <v>0</v>
      </c>
      <c r="B1" s="7"/>
      <c r="C1" s="7"/>
      <c r="D1" s="7"/>
      <c r="E1" s="7"/>
      <c r="F1" s="7"/>
      <c r="G1" s="7"/>
    </row>
    <row r="2" spans="1:7">
      <c r="A2" t="s">
        <v>1</v>
      </c>
      <c r="B2" t="s">
        <v>2</v>
      </c>
    </row>
    <row r="3" spans="1:7">
      <c r="A3" s="1" t="s">
        <v>3</v>
      </c>
      <c r="B3" s="2" t="s">
        <v>4</v>
      </c>
      <c r="C3" s="3" t="s">
        <v>5</v>
      </c>
      <c r="D3" s="4" t="s">
        <v>6</v>
      </c>
    </row>
    <row r="4" spans="1:7">
      <c r="A4" s="1" t="s">
        <v>7</v>
      </c>
      <c r="B4" s="2">
        <f>COUNTIF(base!$C:$C,A4)</f>
        <v>0</v>
      </c>
      <c r="C4" s="3">
        <v>10</v>
      </c>
      <c r="D4" s="4">
        <f>B4*C4</f>
        <v>0</v>
      </c>
    </row>
    <row r="5" spans="1:7">
      <c r="A5" s="1" t="s">
        <v>8</v>
      </c>
      <c r="B5" s="2">
        <f>COUNTIF(base!$C:$C,A5)</f>
        <v>0</v>
      </c>
      <c r="C5" s="3">
        <v>4</v>
      </c>
      <c r="D5" s="4">
        <f t="shared" ref="D5:D14" si="0">B5*C5</f>
        <v>0</v>
      </c>
    </row>
    <row r="6" spans="1:7">
      <c r="A6" s="1" t="s">
        <v>9</v>
      </c>
      <c r="B6" s="2">
        <f>COUNTIF(base!$C:$C,A6)</f>
        <v>0</v>
      </c>
      <c r="C6" s="3">
        <v>2</v>
      </c>
      <c r="D6" s="4">
        <f t="shared" si="0"/>
        <v>0</v>
      </c>
    </row>
    <row r="7" spans="1:7">
      <c r="A7" s="1" t="s">
        <v>10</v>
      </c>
      <c r="B7" s="2">
        <f>COUNTIF(base!$C:$C,A7)</f>
        <v>0</v>
      </c>
      <c r="C7" s="3">
        <v>8</v>
      </c>
      <c r="D7" s="4">
        <f t="shared" si="0"/>
        <v>0</v>
      </c>
    </row>
    <row r="8" spans="1:7">
      <c r="A8" s="1" t="s">
        <v>11</v>
      </c>
      <c r="B8" s="2">
        <f>COUNTIF(base!$C:$C,A8)</f>
        <v>0</v>
      </c>
      <c r="C8" s="3">
        <v>2</v>
      </c>
      <c r="D8" s="4">
        <f t="shared" si="0"/>
        <v>0</v>
      </c>
    </row>
    <row r="9" spans="1:7">
      <c r="A9" s="1" t="s">
        <v>12</v>
      </c>
      <c r="B9" s="2">
        <f>COUNTIF(base!$C:$C,A9)</f>
        <v>0</v>
      </c>
      <c r="C9" s="3">
        <v>2</v>
      </c>
      <c r="D9" s="4">
        <f t="shared" si="0"/>
        <v>0</v>
      </c>
    </row>
    <row r="10" spans="1:7">
      <c r="A10" s="1" t="s">
        <v>13</v>
      </c>
      <c r="B10" s="2">
        <f>COUNTIF(base!$C:$C,A10)</f>
        <v>0</v>
      </c>
      <c r="C10" s="3">
        <v>2</v>
      </c>
      <c r="D10" s="4">
        <f t="shared" si="0"/>
        <v>0</v>
      </c>
    </row>
    <row r="11" spans="1:7">
      <c r="A11" s="1" t="s">
        <v>14</v>
      </c>
      <c r="B11" s="2">
        <f>COUNTIF(base!$C:$C,A11)</f>
        <v>0</v>
      </c>
      <c r="C11" s="3">
        <v>2</v>
      </c>
      <c r="D11" s="4">
        <f t="shared" si="0"/>
        <v>0</v>
      </c>
    </row>
    <row r="12" spans="1:7">
      <c r="A12" s="1" t="s">
        <v>15</v>
      </c>
      <c r="B12" s="2">
        <f>COUNTIF(base!$C:$C,A12)</f>
        <v>0</v>
      </c>
      <c r="C12" s="3">
        <v>1</v>
      </c>
      <c r="D12" s="4">
        <f t="shared" si="0"/>
        <v>0</v>
      </c>
    </row>
    <row r="13" spans="1:7">
      <c r="A13" s="1" t="s">
        <v>16</v>
      </c>
      <c r="B13" s="2">
        <f>COUNTIF(base!$C:$C,A13)</f>
        <v>0</v>
      </c>
      <c r="C13" s="3">
        <v>2</v>
      </c>
      <c r="D13" s="4">
        <f t="shared" si="0"/>
        <v>0</v>
      </c>
    </row>
    <row r="14" spans="1:7">
      <c r="A14" s="1" t="s">
        <v>17</v>
      </c>
      <c r="B14" s="2">
        <f>COUNTIF(base!$C:$C,A14)</f>
        <v>0</v>
      </c>
      <c r="C14" s="3">
        <v>8</v>
      </c>
      <c r="D14" s="4">
        <f t="shared" si="0"/>
        <v>0</v>
      </c>
    </row>
    <row r="15" spans="1:7">
      <c r="A15" s="5" t="s">
        <v>18</v>
      </c>
      <c r="B15" s="5"/>
      <c r="C15" s="5"/>
      <c r="D15" s="5">
        <f>SUM(D4:D14)</f>
        <v>0</v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AE870-AF56-4CB7-B6BF-D4A557769D57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ALLAN DE VASCONCELOS FERREIRA SOUZA</cp:lastModifiedBy>
  <cp:revision/>
  <dcterms:created xsi:type="dcterms:W3CDTF">2025-10-18T12:28:07Z</dcterms:created>
  <dcterms:modified xsi:type="dcterms:W3CDTF">2025-12-03T23:39:53Z</dcterms:modified>
  <cp:category/>
  <cp:contentStatus/>
</cp:coreProperties>
</file>